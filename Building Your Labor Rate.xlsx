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e7d396388281a7db/Documents/"/>
    </mc:Choice>
  </mc:AlternateContent>
  <xr:revisionPtr revIDLastSave="0" documentId="8_{7A1BE1BA-7B4D-4F0E-B43F-CFE1320E1C68}" xr6:coauthVersionLast="47" xr6:coauthVersionMax="47" xr10:uidLastSave="{00000000-0000-0000-0000-000000000000}"/>
  <bookViews>
    <workbookView xWindow="6570" yWindow="1890" windowWidth="24075" windowHeight="10185" xr2:uid="{00000000-000D-0000-FFFF-FFFF00000000}"/>
  </bookViews>
  <sheets>
    <sheet name="Labor R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9" i="1" l="1"/>
  <c r="F56" i="1"/>
  <c r="F53" i="1"/>
  <c r="F50" i="1"/>
  <c r="F49" i="1"/>
  <c r="F48" i="1"/>
  <c r="F47" i="1"/>
  <c r="F46" i="1"/>
  <c r="F45" i="1"/>
  <c r="F43" i="1"/>
  <c r="F42" i="1"/>
  <c r="F41" i="1"/>
  <c r="F40" i="1"/>
  <c r="F39" i="1"/>
  <c r="F38" i="1"/>
  <c r="F37" i="1"/>
  <c r="E32" i="1"/>
  <c r="E34" i="1" s="1"/>
  <c r="F31" i="1"/>
  <c r="F32" i="1" s="1"/>
  <c r="F30" i="1"/>
  <c r="F29" i="1"/>
  <c r="E27" i="1"/>
  <c r="F27" i="1" s="1"/>
  <c r="F26" i="1"/>
  <c r="F25" i="1"/>
  <c r="F20" i="1"/>
  <c r="G20" i="1" s="1"/>
  <c r="G19" i="1"/>
  <c r="F19" i="1"/>
  <c r="F18" i="1"/>
  <c r="G16" i="1"/>
  <c r="G15" i="1"/>
  <c r="G14" i="1"/>
  <c r="G13" i="1"/>
  <c r="G12" i="1"/>
  <c r="G11" i="1"/>
  <c r="G10" i="1"/>
  <c r="G9" i="1"/>
  <c r="G8" i="1"/>
  <c r="G7" i="1"/>
  <c r="G18" i="1" s="1"/>
  <c r="G6" i="1"/>
  <c r="J4" i="1"/>
  <c r="F34" i="1" l="1"/>
  <c r="F76" i="1" s="1"/>
  <c r="J3" i="1"/>
  <c r="G23" i="1"/>
  <c r="G33" i="1" l="1"/>
  <c r="G25" i="1"/>
  <c r="G76" i="1" s="1"/>
  <c r="G47" i="1"/>
  <c r="G38" i="1"/>
  <c r="G28" i="1"/>
  <c r="G46" i="1"/>
  <c r="G37" i="1"/>
  <c r="G27" i="1"/>
  <c r="G31" i="1"/>
  <c r="G49" i="1"/>
  <c r="G40" i="1"/>
  <c r="G50" i="1"/>
  <c r="G41" i="1"/>
  <c r="G53" i="1"/>
  <c r="G42" i="1"/>
  <c r="G32" i="1"/>
  <c r="G30" i="1"/>
  <c r="G48" i="1"/>
  <c r="G39" i="1"/>
  <c r="G29" i="1"/>
  <c r="G59" i="1"/>
  <c r="G45" i="1"/>
  <c r="G34" i="1"/>
  <c r="G26" i="1"/>
  <c r="G56" i="1"/>
  <c r="G43" i="1"/>
</calcChain>
</file>

<file path=xl/sharedStrings.xml><?xml version="1.0" encoding="utf-8"?>
<sst xmlns="http://schemas.openxmlformats.org/spreadsheetml/2006/main" count="57" uniqueCount="55">
  <si>
    <t>52 weeks @ 40 hours</t>
  </si>
  <si>
    <t>Building Your Charge Out Rate</t>
  </si>
  <si>
    <t>Burden Per Hour Employee Earned</t>
  </si>
  <si>
    <t>Burden Per Hour Charged</t>
  </si>
  <si>
    <t>Step 1</t>
  </si>
  <si>
    <t>Paid Capacity</t>
  </si>
  <si>
    <t>Hours that can be worked</t>
  </si>
  <si>
    <t>Hours not worked</t>
  </si>
  <si>
    <t>Vacation</t>
  </si>
  <si>
    <t>Step 2</t>
  </si>
  <si>
    <t>Sick Time</t>
  </si>
  <si>
    <t>Holidays</t>
  </si>
  <si>
    <t>Non-Billable Hours</t>
  </si>
  <si>
    <t>Training</t>
  </si>
  <si>
    <t>Meetings</t>
  </si>
  <si>
    <t>Drive time - Not billed to Job</t>
  </si>
  <si>
    <t>Rework</t>
  </si>
  <si>
    <t>Administration</t>
  </si>
  <si>
    <t>Downtime/Cleaning</t>
  </si>
  <si>
    <t>Minimum Weekly Hours</t>
  </si>
  <si>
    <t xml:space="preserve">Other: </t>
  </si>
  <si>
    <t>Total PTO, Holidays and Sick Time</t>
  </si>
  <si>
    <t>Total Non-Billable Hours</t>
  </si>
  <si>
    <t>Total Hours Available For Work</t>
  </si>
  <si>
    <t>Hourly Rate</t>
  </si>
  <si>
    <t>Workers Wage</t>
  </si>
  <si>
    <t>Mandatory Burden</t>
  </si>
  <si>
    <t>Federal Taxes</t>
  </si>
  <si>
    <t>Social Security</t>
  </si>
  <si>
    <t>Medicare</t>
  </si>
  <si>
    <t>Combined Federal Payroll Tax</t>
  </si>
  <si>
    <t xml:space="preserve">Ohio Unemployment </t>
  </si>
  <si>
    <t>Federal Unemployment</t>
  </si>
  <si>
    <t>Workers Compensation</t>
  </si>
  <si>
    <t>Worker Burden</t>
  </si>
  <si>
    <t xml:space="preserve">Step 3 </t>
  </si>
  <si>
    <t>Total Mandatory Burden</t>
  </si>
  <si>
    <t>Benefits Burden</t>
  </si>
  <si>
    <t>Health Insurance Premiums</t>
  </si>
  <si>
    <t>Retirement Match</t>
  </si>
  <si>
    <t>Additional Overheads</t>
  </si>
  <si>
    <t>Uniforms</t>
  </si>
  <si>
    <t>Boot Allowance</t>
  </si>
  <si>
    <t>Phone &amp; Data</t>
  </si>
  <si>
    <t>Computer / Tablet &amp; Software</t>
  </si>
  <si>
    <t>Employee Costs</t>
  </si>
  <si>
    <t>Training &amp; Certifications</t>
  </si>
  <si>
    <t>Christmas Bonus</t>
  </si>
  <si>
    <t>Performance Bonus</t>
  </si>
  <si>
    <t>Other: Non-Billable Tools</t>
  </si>
  <si>
    <t>Other:</t>
  </si>
  <si>
    <t>Division Overhead</t>
  </si>
  <si>
    <t>Management, Non-Billable and General Warehouse Space, Non-Billable Vehicles, General Overheads</t>
  </si>
  <si>
    <t>General Company Overhead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</si>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</sst>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10" fontId="1" fillId="0" borderId="0" xfId="0" applyNumberFormat="1" applyFont="1"/>
    <xf numFmtId="9" fontId="1" fillId="0" borderId="0" xfId="0" applyNumberFormat="1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76"/>
  <sheetViews>
    <sheetView tabSelected="1" workbookViewId="0">
      <selection activeCell="G5" sqref="G5"/>
    </sheetView>
  </sheetViews>
  <sheetFormatPr defaultColWidth="12.5703125" defaultRowHeight="15.75" customHeight="1" x14ac:dyDescent="0.2"/>
  <cols>
    <col min="1" max="1" width="30.42578125" customWidth="1"/>
    <col min="2" max="2" width="23.7109375" customWidth="1"/>
    <col min="3" max="3" width="27.85546875" customWidth="1"/>
    <col min="4" max="4" width="18.42578125" customWidth="1"/>
    <col min="5" max="5" width="28.28515625" customWidth="1"/>
    <col min="7" max="7" width="20.140625" customWidth="1"/>
  </cols>
  <sheetData>
    <row r="1" spans="1:10" x14ac:dyDescent="0.2">
      <c r="D1" s="1"/>
      <c r="E1" s="1" t="s">
        <v>0</v>
      </c>
    </row>
    <row r="3" spans="1:10" x14ac:dyDescent="0.2">
      <c r="I3" s="1">
        <v>208</v>
      </c>
      <c r="J3" s="1">
        <f>I3*(1-G20)</f>
        <v>62.000000000000014</v>
      </c>
    </row>
    <row r="4" spans="1:10" x14ac:dyDescent="0.2">
      <c r="A4" s="1" t="s">
        <v>1</v>
      </c>
      <c r="J4" s="2">
        <f>I3/F20</f>
        <v>0.14246575342465753</v>
      </c>
    </row>
    <row r="5" spans="1:10" x14ac:dyDescent="0.2">
      <c r="D5" s="1"/>
      <c r="E5" s="1" t="s">
        <v>2</v>
      </c>
      <c r="G5" s="1" t="s">
        <v>3</v>
      </c>
    </row>
    <row r="6" spans="1:10" x14ac:dyDescent="0.2">
      <c r="A6" s="1" t="s">
        <v>4</v>
      </c>
      <c r="B6" s="1" t="s">
        <v>5</v>
      </c>
      <c r="C6" s="1" t="s">
        <v>6</v>
      </c>
      <c r="F6" s="1">
        <v>2080</v>
      </c>
      <c r="G6" s="3">
        <f>F6/F6</f>
        <v>1</v>
      </c>
    </row>
    <row r="7" spans="1:10" x14ac:dyDescent="0.2">
      <c r="B7" s="1" t="s">
        <v>7</v>
      </c>
      <c r="C7" s="1" t="s">
        <v>8</v>
      </c>
      <c r="F7" s="1">
        <v>120</v>
      </c>
      <c r="G7" s="3">
        <f t="shared" ref="G7:G16" si="0">F7/$F$6</f>
        <v>5.7692307692307696E-2</v>
      </c>
    </row>
    <row r="8" spans="1:10" x14ac:dyDescent="0.2">
      <c r="A8" s="1" t="s">
        <v>9</v>
      </c>
      <c r="C8" s="1" t="s">
        <v>10</v>
      </c>
      <c r="F8" s="1">
        <v>40</v>
      </c>
      <c r="G8" s="3">
        <f t="shared" si="0"/>
        <v>1.9230769230769232E-2</v>
      </c>
    </row>
    <row r="9" spans="1:10" x14ac:dyDescent="0.2">
      <c r="A9" s="1"/>
      <c r="C9" s="1" t="s">
        <v>11</v>
      </c>
      <c r="F9" s="1">
        <v>64</v>
      </c>
      <c r="G9" s="3">
        <f t="shared" si="0"/>
        <v>3.0769230769230771E-2</v>
      </c>
    </row>
    <row r="10" spans="1:10" x14ac:dyDescent="0.2">
      <c r="A10" s="1"/>
      <c r="B10" s="1" t="s">
        <v>12</v>
      </c>
      <c r="C10" s="1" t="s">
        <v>13</v>
      </c>
      <c r="F10" s="1">
        <v>80</v>
      </c>
      <c r="G10" s="3">
        <f t="shared" si="0"/>
        <v>3.8461538461538464E-2</v>
      </c>
    </row>
    <row r="11" spans="1:10" x14ac:dyDescent="0.2">
      <c r="A11" s="1"/>
      <c r="C11" s="1" t="s">
        <v>14</v>
      </c>
      <c r="F11" s="1">
        <v>52</v>
      </c>
      <c r="G11" s="3">
        <f t="shared" si="0"/>
        <v>2.5000000000000001E-2</v>
      </c>
    </row>
    <row r="12" spans="1:10" x14ac:dyDescent="0.2">
      <c r="A12" s="1"/>
      <c r="C12" s="1" t="s">
        <v>15</v>
      </c>
      <c r="D12" s="1"/>
      <c r="E12" s="1"/>
      <c r="F12" s="1">
        <v>52</v>
      </c>
      <c r="G12" s="3">
        <f t="shared" si="0"/>
        <v>2.5000000000000001E-2</v>
      </c>
    </row>
    <row r="13" spans="1:10" x14ac:dyDescent="0.2">
      <c r="A13" s="1"/>
      <c r="C13" s="1" t="s">
        <v>16</v>
      </c>
      <c r="D13" s="1"/>
      <c r="E13" s="1"/>
      <c r="F13" s="1">
        <v>40</v>
      </c>
      <c r="G13" s="3">
        <f t="shared" si="0"/>
        <v>1.9230769230769232E-2</v>
      </c>
    </row>
    <row r="14" spans="1:10" x14ac:dyDescent="0.2">
      <c r="A14" s="1"/>
      <c r="C14" s="1" t="s">
        <v>17</v>
      </c>
      <c r="D14" s="1"/>
      <c r="E14" s="1"/>
      <c r="F14" s="1">
        <v>52</v>
      </c>
      <c r="G14" s="3">
        <f t="shared" si="0"/>
        <v>2.5000000000000001E-2</v>
      </c>
    </row>
    <row r="15" spans="1:10" x14ac:dyDescent="0.2">
      <c r="A15" s="1"/>
      <c r="C15" s="1" t="s">
        <v>18</v>
      </c>
      <c r="D15" s="1"/>
      <c r="E15" s="1"/>
      <c r="F15" s="1">
        <v>80</v>
      </c>
      <c r="G15" s="3">
        <f t="shared" si="0"/>
        <v>3.8461538461538464E-2</v>
      </c>
    </row>
    <row r="16" spans="1:10" x14ac:dyDescent="0.2">
      <c r="A16" s="1"/>
      <c r="C16" s="1" t="s">
        <v>19</v>
      </c>
      <c r="D16" s="1"/>
      <c r="E16" s="1"/>
      <c r="F16" s="1">
        <v>40</v>
      </c>
      <c r="G16" s="3">
        <f t="shared" si="0"/>
        <v>1.9230769230769232E-2</v>
      </c>
    </row>
    <row r="17" spans="1:7" x14ac:dyDescent="0.2">
      <c r="A17" s="1"/>
      <c r="C17" s="1" t="s">
        <v>20</v>
      </c>
      <c r="D17" s="1"/>
      <c r="E17" s="1"/>
      <c r="F17" s="1"/>
    </row>
    <row r="18" spans="1:7" x14ac:dyDescent="0.2">
      <c r="A18" s="1"/>
      <c r="C18" s="1" t="s">
        <v>21</v>
      </c>
      <c r="D18" s="1"/>
      <c r="E18" s="1"/>
      <c r="F18" s="1">
        <f t="shared" ref="F18:G18" si="1">F7+F8+F9</f>
        <v>224</v>
      </c>
      <c r="G18" s="3">
        <f t="shared" si="1"/>
        <v>0.1076923076923077</v>
      </c>
    </row>
    <row r="19" spans="1:7" x14ac:dyDescent="0.2">
      <c r="A19" s="1"/>
      <c r="C19" s="1" t="s">
        <v>22</v>
      </c>
      <c r="D19" s="1"/>
      <c r="E19" s="1"/>
      <c r="F19" s="1">
        <f t="shared" ref="F19:G19" si="2">F17+F16+F15+F14+F13+F12+F11+F10</f>
        <v>396</v>
      </c>
      <c r="G19" s="3">
        <f t="shared" si="2"/>
        <v>0.1903846153846154</v>
      </c>
    </row>
    <row r="20" spans="1:7" x14ac:dyDescent="0.2">
      <c r="A20" s="1"/>
      <c r="C20" s="1" t="s">
        <v>23</v>
      </c>
      <c r="D20" s="1"/>
      <c r="E20" s="1"/>
      <c r="F20" s="1">
        <f>F6-(F11+F10+F8+F7+F17+F12+F13+F14+F15+F16+F9)</f>
        <v>1460</v>
      </c>
      <c r="G20" s="3">
        <f>F20/F6</f>
        <v>0.70192307692307687</v>
      </c>
    </row>
    <row r="21" spans="1:7" x14ac:dyDescent="0.2">
      <c r="A21" s="1"/>
      <c r="C21" s="1"/>
      <c r="D21" s="1"/>
      <c r="E21" s="1"/>
      <c r="F21" s="1"/>
    </row>
    <row r="22" spans="1:7" x14ac:dyDescent="0.2">
      <c r="A22" s="1"/>
      <c r="C22" s="1"/>
      <c r="D22" s="1"/>
      <c r="E22" s="1"/>
      <c r="F22" s="1" t="s">
        <v>24</v>
      </c>
    </row>
    <row r="23" spans="1:7" x14ac:dyDescent="0.2">
      <c r="B23" s="1" t="s">
        <v>25</v>
      </c>
      <c r="D23" s="2"/>
      <c r="E23" s="2"/>
      <c r="F23" s="2">
        <v>40</v>
      </c>
      <c r="G23" s="2">
        <f>F23/G20</f>
        <v>56.986301369863021</v>
      </c>
    </row>
    <row r="24" spans="1:7" x14ac:dyDescent="0.2">
      <c r="B24" s="1" t="s">
        <v>26</v>
      </c>
      <c r="C24" s="1" t="s">
        <v>27</v>
      </c>
    </row>
    <row r="25" spans="1:7" x14ac:dyDescent="0.2">
      <c r="C25" s="1" t="s">
        <v>28</v>
      </c>
      <c r="D25" s="3"/>
      <c r="E25" s="3">
        <v>6.2E-2</v>
      </c>
      <c r="F25" s="2">
        <f t="shared" ref="F25:F27" si="3">$F$23*E25</f>
        <v>2.48</v>
      </c>
      <c r="G25" s="2">
        <f t="shared" ref="G25:G34" si="4">$G$23*E25</f>
        <v>3.5331506849315071</v>
      </c>
    </row>
    <row r="26" spans="1:7" x14ac:dyDescent="0.2">
      <c r="C26" s="1" t="s">
        <v>29</v>
      </c>
      <c r="D26" s="3"/>
      <c r="E26" s="3">
        <v>1.4500000000000001E-2</v>
      </c>
      <c r="F26" s="2">
        <f t="shared" si="3"/>
        <v>0.58000000000000007</v>
      </c>
      <c r="G26" s="2">
        <f t="shared" si="4"/>
        <v>0.82630136986301383</v>
      </c>
    </row>
    <row r="27" spans="1:7" x14ac:dyDescent="0.2">
      <c r="C27" s="1" t="s">
        <v>30</v>
      </c>
      <c r="E27" s="3">
        <f>E25+E26</f>
        <v>7.6499999999999999E-2</v>
      </c>
      <c r="F27" s="2">
        <f t="shared" si="3"/>
        <v>3.06</v>
      </c>
      <c r="G27" s="2">
        <f t="shared" si="4"/>
        <v>4.359452054794521</v>
      </c>
    </row>
    <row r="28" spans="1:7" x14ac:dyDescent="0.2">
      <c r="G28" s="2">
        <f t="shared" si="4"/>
        <v>0</v>
      </c>
    </row>
    <row r="29" spans="1:7" x14ac:dyDescent="0.2">
      <c r="C29" s="1" t="s">
        <v>31</v>
      </c>
      <c r="D29" s="3"/>
      <c r="E29" s="3">
        <v>2.7E-2</v>
      </c>
      <c r="F29" s="2">
        <f>F23*E29</f>
        <v>1.08</v>
      </c>
      <c r="G29" s="2">
        <f t="shared" si="4"/>
        <v>1.5386301369863016</v>
      </c>
    </row>
    <row r="30" spans="1:7" x14ac:dyDescent="0.2">
      <c r="C30" s="1" t="s">
        <v>32</v>
      </c>
      <c r="D30" s="3"/>
      <c r="E30" s="3">
        <v>6.0000000000000001E-3</v>
      </c>
      <c r="F30" s="2">
        <f>E30*F23</f>
        <v>0.24</v>
      </c>
      <c r="G30" s="2">
        <f t="shared" si="4"/>
        <v>0.34191780821917811</v>
      </c>
    </row>
    <row r="31" spans="1:7" x14ac:dyDescent="0.2">
      <c r="C31" s="1" t="s">
        <v>33</v>
      </c>
      <c r="D31" s="4"/>
      <c r="E31" s="4">
        <v>0.03</v>
      </c>
      <c r="F31" s="2">
        <f>E31*F23</f>
        <v>1.2</v>
      </c>
      <c r="G31" s="2">
        <f t="shared" si="4"/>
        <v>1.7095890410958905</v>
      </c>
    </row>
    <row r="32" spans="1:7" x14ac:dyDescent="0.2">
      <c r="C32" s="1" t="s">
        <v>34</v>
      </c>
      <c r="E32" s="3">
        <f t="shared" ref="E32:F32" si="5">E29+E30+E31</f>
        <v>6.3E-2</v>
      </c>
      <c r="F32" s="2">
        <f t="shared" si="5"/>
        <v>2.52</v>
      </c>
      <c r="G32" s="2">
        <f t="shared" si="4"/>
        <v>3.5901369863013706</v>
      </c>
    </row>
    <row r="33" spans="1:7" x14ac:dyDescent="0.2">
      <c r="G33" s="2">
        <f t="shared" si="4"/>
        <v>0</v>
      </c>
    </row>
    <row r="34" spans="1:7" x14ac:dyDescent="0.2">
      <c r="A34" s="1" t="s">
        <v>35</v>
      </c>
      <c r="C34" s="1" t="s">
        <v>36</v>
      </c>
      <c r="E34" s="3">
        <f t="shared" ref="E34:F34" si="6">E32+E27</f>
        <v>0.13950000000000001</v>
      </c>
      <c r="F34" s="2">
        <f t="shared" si="6"/>
        <v>5.58</v>
      </c>
      <c r="G34" s="2">
        <f t="shared" si="4"/>
        <v>7.9495890410958925</v>
      </c>
    </row>
    <row r="37" spans="1:7" x14ac:dyDescent="0.2">
      <c r="B37" s="1" t="s">
        <v>37</v>
      </c>
      <c r="C37" s="1" t="s">
        <v>38</v>
      </c>
      <c r="E37" s="3">
        <v>0.12</v>
      </c>
      <c r="F37" s="2">
        <f t="shared" ref="F37:F43" si="7">$F$23*E37</f>
        <v>4.8</v>
      </c>
      <c r="G37" s="2">
        <f t="shared" ref="G37:G43" si="8">$G$23*E37</f>
        <v>6.838356164383562</v>
      </c>
    </row>
    <row r="38" spans="1:7" x14ac:dyDescent="0.2">
      <c r="C38" s="1" t="s">
        <v>39</v>
      </c>
      <c r="E38" s="3">
        <v>0.02</v>
      </c>
      <c r="F38" s="2">
        <f t="shared" si="7"/>
        <v>0.8</v>
      </c>
      <c r="G38" s="2">
        <f t="shared" si="8"/>
        <v>1.1397260273972605</v>
      </c>
    </row>
    <row r="39" spans="1:7" x14ac:dyDescent="0.2">
      <c r="E39" s="3"/>
      <c r="F39" s="2">
        <f t="shared" si="7"/>
        <v>0</v>
      </c>
      <c r="G39" s="2">
        <f t="shared" si="8"/>
        <v>0</v>
      </c>
    </row>
    <row r="40" spans="1:7" x14ac:dyDescent="0.2">
      <c r="B40" s="1" t="s">
        <v>40</v>
      </c>
      <c r="C40" s="1" t="s">
        <v>41</v>
      </c>
      <c r="E40" s="3">
        <v>5.0000000000000001E-3</v>
      </c>
      <c r="F40" s="2">
        <f t="shared" si="7"/>
        <v>0.2</v>
      </c>
      <c r="G40" s="2">
        <f t="shared" si="8"/>
        <v>0.28493150684931512</v>
      </c>
    </row>
    <row r="41" spans="1:7" x14ac:dyDescent="0.2">
      <c r="C41" s="1" t="s">
        <v>42</v>
      </c>
      <c r="E41" s="3">
        <v>1E-3</v>
      </c>
      <c r="F41" s="2">
        <f t="shared" si="7"/>
        <v>0.04</v>
      </c>
      <c r="G41" s="2">
        <f t="shared" si="8"/>
        <v>5.6986301369863025E-2</v>
      </c>
    </row>
    <row r="42" spans="1:7" x14ac:dyDescent="0.2">
      <c r="C42" s="1" t="s">
        <v>43</v>
      </c>
      <c r="E42" s="3">
        <v>0.01</v>
      </c>
      <c r="F42" s="2">
        <f t="shared" si="7"/>
        <v>0.4</v>
      </c>
      <c r="G42" s="2">
        <f t="shared" si="8"/>
        <v>0.56986301369863024</v>
      </c>
    </row>
    <row r="43" spans="1:7" x14ac:dyDescent="0.2">
      <c r="C43" s="1" t="s">
        <v>44</v>
      </c>
      <c r="E43" s="3">
        <v>0.03</v>
      </c>
      <c r="F43" s="2">
        <f t="shared" si="7"/>
        <v>1.2</v>
      </c>
      <c r="G43" s="2">
        <f t="shared" si="8"/>
        <v>1.7095890410958905</v>
      </c>
    </row>
    <row r="44" spans="1:7" x14ac:dyDescent="0.2">
      <c r="E44" s="3"/>
    </row>
    <row r="45" spans="1:7" x14ac:dyDescent="0.2">
      <c r="B45" s="1" t="s">
        <v>45</v>
      </c>
      <c r="C45" s="1" t="s">
        <v>46</v>
      </c>
      <c r="E45" s="3">
        <v>0.05</v>
      </c>
      <c r="F45" s="2">
        <f t="shared" ref="F45:F50" si="9">$F$23*E45</f>
        <v>2</v>
      </c>
      <c r="G45" s="2">
        <f t="shared" ref="G45:G50" si="10">$G$23*E45</f>
        <v>2.8493150684931514</v>
      </c>
    </row>
    <row r="46" spans="1:7" x14ac:dyDescent="0.2">
      <c r="C46" s="1" t="s">
        <v>47</v>
      </c>
      <c r="E46" s="3">
        <v>0.01</v>
      </c>
      <c r="F46" s="2">
        <f t="shared" si="9"/>
        <v>0.4</v>
      </c>
      <c r="G46" s="2">
        <f t="shared" si="10"/>
        <v>0.56986301369863024</v>
      </c>
    </row>
    <row r="47" spans="1:7" x14ac:dyDescent="0.2">
      <c r="C47" s="1" t="s">
        <v>48</v>
      </c>
      <c r="E47" s="3">
        <v>0.05</v>
      </c>
      <c r="F47" s="2">
        <f t="shared" si="9"/>
        <v>2</v>
      </c>
      <c r="G47" s="2">
        <f t="shared" si="10"/>
        <v>2.8493150684931514</v>
      </c>
    </row>
    <row r="48" spans="1:7" x14ac:dyDescent="0.2">
      <c r="C48" s="1" t="s">
        <v>49</v>
      </c>
      <c r="E48" s="3">
        <v>6.25E-2</v>
      </c>
      <c r="F48" s="2">
        <f t="shared" si="9"/>
        <v>2.5</v>
      </c>
      <c r="G48" s="2">
        <f t="shared" si="10"/>
        <v>3.5616438356164388</v>
      </c>
    </row>
    <row r="49" spans="2:7" x14ac:dyDescent="0.2">
      <c r="C49" s="1" t="s">
        <v>20</v>
      </c>
      <c r="E49" s="3"/>
      <c r="F49" s="2">
        <f t="shared" si="9"/>
        <v>0</v>
      </c>
      <c r="G49" s="2">
        <f t="shared" si="10"/>
        <v>0</v>
      </c>
    </row>
    <row r="50" spans="2:7" x14ac:dyDescent="0.2">
      <c r="C50" s="1" t="s">
        <v>20</v>
      </c>
      <c r="E50" s="3"/>
      <c r="F50" s="2">
        <f t="shared" si="9"/>
        <v>0</v>
      </c>
      <c r="G50" s="2">
        <f t="shared" si="10"/>
        <v>0</v>
      </c>
    </row>
    <row r="51" spans="2:7" x14ac:dyDescent="0.2">
      <c r="C51" s="1" t="s">
        <v>50</v>
      </c>
      <c r="E51" s="3"/>
    </row>
    <row r="52" spans="2:7" x14ac:dyDescent="0.2">
      <c r="E52" s="3"/>
    </row>
    <row r="53" spans="2:7" x14ac:dyDescent="0.2">
      <c r="B53" s="1" t="s">
        <v>51</v>
      </c>
      <c r="C53" s="5" t="s">
        <v>52</v>
      </c>
      <c r="E53" s="3">
        <v>0.14000000000000001</v>
      </c>
      <c r="F53" s="2">
        <f>$F$23*E53</f>
        <v>5.6000000000000005</v>
      </c>
      <c r="G53" s="2">
        <f>$G$23*E53</f>
        <v>7.9780821917808238</v>
      </c>
    </row>
    <row r="54" spans="2:7" x14ac:dyDescent="0.2">
      <c r="E54" s="3"/>
    </row>
    <row r="55" spans="2:7" x14ac:dyDescent="0.2">
      <c r="E55" s="3"/>
    </row>
    <row r="56" spans="2:7" x14ac:dyDescent="0.2">
      <c r="B56" s="1" t="s">
        <v>53</v>
      </c>
      <c r="E56" s="3">
        <v>0.08</v>
      </c>
      <c r="F56" s="2">
        <f>$F$23*E56</f>
        <v>3.2</v>
      </c>
      <c r="G56" s="2">
        <f>$G$23*E56</f>
        <v>4.5589041095890419</v>
      </c>
    </row>
    <row r="57" spans="2:7" x14ac:dyDescent="0.2">
      <c r="E57" s="3"/>
    </row>
    <row r="58" spans="2:7" x14ac:dyDescent="0.2">
      <c r="E58" s="3"/>
    </row>
    <row r="59" spans="2:7" x14ac:dyDescent="0.2">
      <c r="B59" s="1" t="s">
        <v>54</v>
      </c>
      <c r="E59" s="3">
        <v>0.2</v>
      </c>
      <c r="F59" s="2">
        <f>$F$23*E59</f>
        <v>8</v>
      </c>
      <c r="G59" s="2">
        <f>$G$23*E59</f>
        <v>11.397260273972606</v>
      </c>
    </row>
    <row r="60" spans="2:7" x14ac:dyDescent="0.2">
      <c r="E60" s="3"/>
    </row>
    <row r="61" spans="2:7" x14ac:dyDescent="0.2">
      <c r="E61" s="3"/>
    </row>
    <row r="62" spans="2:7" x14ac:dyDescent="0.2">
      <c r="E62" s="3"/>
    </row>
    <row r="63" spans="2:7" x14ac:dyDescent="0.2">
      <c r="E63" s="3"/>
    </row>
    <row r="64" spans="2:7" x14ac:dyDescent="0.2">
      <c r="E64" s="3"/>
    </row>
    <row r="65" spans="5:7" x14ac:dyDescent="0.2">
      <c r="E65" s="3"/>
    </row>
    <row r="66" spans="5:7" x14ac:dyDescent="0.2">
      <c r="E66" s="3"/>
    </row>
    <row r="67" spans="5:7" x14ac:dyDescent="0.2">
      <c r="E67" s="3"/>
    </row>
    <row r="68" spans="5:7" x14ac:dyDescent="0.2">
      <c r="E68" s="3"/>
    </row>
    <row r="69" spans="5:7" x14ac:dyDescent="0.2">
      <c r="E69" s="3"/>
    </row>
    <row r="70" spans="5:7" x14ac:dyDescent="0.2">
      <c r="E70" s="3"/>
    </row>
    <row r="76" spans="5:7" x14ac:dyDescent="0.2">
      <c r="F76" s="2">
        <f t="shared" ref="F76:G76" si="11">SUM(F23:F75)</f>
        <v>87.88</v>
      </c>
      <c r="G76" s="2">
        <f t="shared" si="11"/>
        <v>125.19890410958909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Labor 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 Fernandez</dc:creator>
  <cp:lastModifiedBy>Kristin Fernandez</cp:lastModifiedBy>
  <dcterms:created xsi:type="dcterms:W3CDTF">2026-01-23T18:26:08Z</dcterms:created>
  <dcterms:modified xsi:type="dcterms:W3CDTF">2026-01-23T18:26:08Z</dcterms:modified>
</cp:coreProperties>
</file>